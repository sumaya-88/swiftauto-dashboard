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FFFFFF"/>
      <sz val="12"/>
    </font>
  </fonts>
  <fills count="8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1F3864"/>
      </patternFill>
    </fill>
    <fill>
      <patternFill patternType="solid">
        <fgColor rgb="00EEF2F8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DEEAF1"/>
      </patternFill>
    </fill>
  </fills>
  <borders count="6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  <border>
      <left/>
      <right/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2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0" fillId="0" borderId="5" pivotButton="0" quotePrefix="0" xfId="0"/>
    <xf numFmtId="164" fontId="3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Quantity Sold by Dealer ID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'Sheet1'!B2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solidFill>
                <a:srgbClr val="2E75B6"/>
              </a:solidFill>
              <a:prstDash val="solid"/>
            </a:ln>
          </spPr>
          <cat>
            <numRef>
              <f>'Sheet1'!$A$3:$A$17</f>
            </numRef>
          </cat>
          <val>
            <numRef>
              <f>'Sheet1'!$B$3:$B$17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Quantity Sold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Dealer ID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 by Date and Model</a:t>
            </a:r>
          </a:p>
        </rich>
      </tx>
    </title>
    <plotArea>
      <lineChart>
        <grouping val="standard"/>
        <ser>
          <idx val="0"/>
          <order val="0"/>
          <tx>
            <strRef>
              <f>'Sheet2'!B2</f>
            </strRef>
          </tx>
          <spPr>
            <a:ln xmlns:a="http://schemas.openxmlformats.org/drawingml/2006/main" w="20000">
              <a:solidFill>
                <a:srgbClr val="E8A020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'Sheet2'!$A$3:$A$14</f>
            </numRef>
          </cat>
          <val>
            <numRef>
              <f>'Sheet2'!$B$3:$B$14</f>
            </numRef>
          </val>
        </ser>
        <ser>
          <idx val="1"/>
          <order val="1"/>
          <tx>
            <strRef>
              <f>'Sheet2'!C2</f>
            </strRef>
          </tx>
          <spPr>
            <a:ln xmlns:a="http://schemas.openxmlformats.org/drawingml/2006/main" w="20000">
              <a:solidFill>
                <a:srgbClr val="2E75B6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'Sheet2'!$A$3:$A$14</f>
            </numRef>
          </cat>
          <val>
            <numRef>
              <f>'Sheet2'!$C$3:$C$14</f>
            </numRef>
          </val>
        </ser>
        <ser>
          <idx val="2"/>
          <order val="2"/>
          <tx>
            <strRef>
              <f>'Sheet2'!D2</f>
            </strRef>
          </tx>
          <spPr>
            <a:ln xmlns:a="http://schemas.openxmlformats.org/drawingml/2006/main" w="20000">
              <a:solidFill>
                <a:srgbClr val="70AD47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'Sheet2'!$A$3:$A$14</f>
            </numRef>
          </cat>
          <val>
            <numRef>
              <f>'Sheet2'!$D$3:$D$14</f>
            </numRef>
          </val>
        </ser>
        <ser>
          <idx val="3"/>
          <order val="3"/>
          <tx>
            <strRef>
              <f>'Sheet2'!E2</f>
            </strRef>
          </tx>
          <spPr>
            <a:ln xmlns:a="http://schemas.openxmlformats.org/drawingml/2006/main" w="20000">
              <a:solidFill>
                <a:srgbClr val="FF4040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'Sheet2'!$A$3:$A$14</f>
            </numRef>
          </cat>
          <val>
            <numRef>
              <f>'Sheet2'!$E$3:$E$14</f>
            </numRef>
          </val>
        </ser>
        <ser>
          <idx val="4"/>
          <order val="4"/>
          <tx>
            <strRef>
              <f>'Sheet2'!F2</f>
            </strRef>
          </tx>
          <spPr>
            <a:ln xmlns:a="http://schemas.openxmlformats.org/drawingml/2006/main" w="20000">
              <a:solidFill>
                <a:srgbClr val="9B59B6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'Sheet2'!$A$3:$A$14</f>
            </numRef>
          </cat>
          <val>
            <numRef>
              <f>'Sheet2'!$F$3:$F$14</f>
            </numRef>
          </val>
        </ser>
        <ser>
          <idx val="5"/>
          <order val="5"/>
          <tx>
            <strRef>
              <f>'Sheet2'!G2</f>
            </strRef>
          </tx>
          <spPr>
            <a:ln xmlns:a="http://schemas.openxmlformats.org/drawingml/2006/main" w="20000">
              <a:solidFill>
                <a:srgbClr val="E8E040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'Sheet2'!$A$3:$A$14</f>
            </numRef>
          </cat>
          <val>
            <numRef>
              <f>'Sheet2'!$G$3:$G$14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 ($ Millions)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 by Year and Dealer ID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'Sheet3'!B2</f>
            </strRef>
          </tx>
          <spPr>
            <a:solidFill xmlns:a="http://schemas.openxmlformats.org/drawingml/2006/main">
              <a:srgbClr val="FF0000"/>
            </a:solidFill>
            <a:ln xmlns:a="http://schemas.openxmlformats.org/drawingml/2006/main">
              <a:solidFill>
                <a:srgbClr val="FF0000"/>
              </a:solidFill>
              <a:prstDash val="solid"/>
            </a:ln>
          </spPr>
          <cat>
            <numRef>
              <f>'Sheet3'!$A$3:$A$17</f>
            </numRef>
          </cat>
          <val>
            <numRef>
              <f>'Sheet3'!$B$3:$B$17</f>
            </numRef>
          </val>
        </ser>
        <ser>
          <idx val="1"/>
          <order val="1"/>
          <tx>
            <strRef>
              <f>'Sheet3'!C2</f>
            </strRef>
          </tx>
          <spPr>
            <a:solidFill xmlns:a="http://schemas.openxmlformats.org/drawingml/2006/main">
              <a:srgbClr val="CC0000"/>
            </a:solidFill>
            <a:ln xmlns:a="http://schemas.openxmlformats.org/drawingml/2006/main">
              <a:solidFill>
                <a:srgbClr val="CC0000"/>
              </a:solidFill>
              <a:prstDash val="solid"/>
            </a:ln>
          </spPr>
          <cat>
            <numRef>
              <f>'Sheet3'!$A$3:$A$17</f>
            </numRef>
          </cat>
          <val>
            <numRef>
              <f>'Sheet3'!$C$3:$C$17</f>
            </numRef>
          </val>
        </ser>
        <ser>
          <idx val="2"/>
          <order val="2"/>
          <tx>
            <strRef>
              <f>'Sheet3'!D2</f>
            </strRef>
          </tx>
          <spPr>
            <a:solidFill xmlns:a="http://schemas.openxmlformats.org/drawingml/2006/main">
              <a:srgbClr val="990000"/>
            </a:solidFill>
            <a:ln xmlns:a="http://schemas.openxmlformats.org/drawingml/2006/main">
              <a:solidFill>
                <a:srgbClr val="990000"/>
              </a:solidFill>
              <a:prstDash val="solid"/>
            </a:ln>
          </spPr>
          <cat>
            <numRef>
              <f>'Sheet3'!$A$3:$A$17</f>
            </numRef>
          </cat>
          <val>
            <numRef>
              <f>'Sheet3'!$D$3:$D$17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Dealer ID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 ($ Millions)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 of Hudson Models by Dealer ID</a:t>
            </a:r>
          </a:p>
        </rich>
      </tx>
    </title>
    <plotArea>
      <lineChart>
        <grouping val="standard"/>
        <ser>
          <idx val="0"/>
          <order val="0"/>
          <tx>
            <strRef>
              <f>'Sheet4'!B2</f>
            </strRef>
          </tx>
          <spPr>
            <a:ln xmlns:a="http://schemas.openxmlformats.org/drawingml/2006/main" w="25000">
              <a:solidFill>
                <a:srgbClr val="00B050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00B050"/>
              </a:solidFill>
              <a:ln xmlns:a="http://schemas.openxmlformats.org/drawingml/2006/main">
                <a:solidFill>
                  <a:srgbClr val="00B050"/>
                </a:solidFill>
                <a:prstDash val="solid"/>
              </a:ln>
            </spPr>
          </marker>
          <cat>
            <numRef>
              <f>'Sheet4'!$A$3:$A$17</f>
            </numRef>
          </cat>
          <val>
            <numRef>
              <f>'Sheet4'!$B$3:$B$17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Dealer ID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 ($ Millions)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1</row>
      <rowOff>0</rowOff>
    </from>
    <ext cx="936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</row>
      <rowOff>0</rowOff>
    </from>
    <ext cx="936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3</col>
      <colOff>0</colOff>
      <row>1</row>
      <rowOff>0</rowOff>
    </from>
    <ext cx="864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" customWidth="1" min="3" max="3"/>
    <col width="2" customWidth="1" min="4" max="4"/>
  </cols>
  <sheetData>
    <row r="1" ht="26" customHeight="1">
      <c r="A1" s="7" t="inlineStr">
        <is>
          <t>Quantity Sold by Dealer ID</t>
        </is>
      </c>
      <c r="B1" s="8" t="n"/>
    </row>
    <row r="2" ht="22" customHeight="1">
      <c r="A2" s="9" t="inlineStr">
        <is>
          <t>Dealer ID</t>
        </is>
      </c>
      <c r="B2" s="9" t="inlineStr">
        <is>
          <t>Quantity Sold</t>
        </is>
      </c>
    </row>
    <row r="3">
      <c r="A3" s="10" t="n">
        <v>1246</v>
      </c>
      <c r="B3" s="11" t="n">
        <v>250</v>
      </c>
    </row>
    <row r="4">
      <c r="A4" s="12" t="n">
        <v>1260</v>
      </c>
      <c r="B4" s="4" t="n">
        <v>225</v>
      </c>
    </row>
    <row r="5">
      <c r="A5" s="10" t="n">
        <v>1234</v>
      </c>
      <c r="B5" s="11" t="n">
        <v>212</v>
      </c>
    </row>
    <row r="6">
      <c r="A6" s="12" t="n">
        <v>1240</v>
      </c>
      <c r="B6" s="4" t="n">
        <v>195</v>
      </c>
    </row>
    <row r="7">
      <c r="A7" s="10" t="n">
        <v>1248</v>
      </c>
      <c r="B7" s="11" t="n">
        <v>168</v>
      </c>
    </row>
    <row r="8">
      <c r="A8" s="12" t="n">
        <v>1262</v>
      </c>
      <c r="B8" s="4" t="n">
        <v>160</v>
      </c>
    </row>
    <row r="9">
      <c r="A9" s="10" t="n">
        <v>1220</v>
      </c>
      <c r="B9" s="11" t="n">
        <v>148</v>
      </c>
    </row>
    <row r="10">
      <c r="A10" s="12" t="n">
        <v>1252</v>
      </c>
      <c r="B10" s="4" t="n">
        <v>145</v>
      </c>
    </row>
    <row r="11">
      <c r="A11" s="10" t="n">
        <v>1226</v>
      </c>
      <c r="B11" s="11" t="n">
        <v>134</v>
      </c>
    </row>
    <row r="12">
      <c r="A12" s="12" t="n">
        <v>1216</v>
      </c>
      <c r="B12" s="4" t="n">
        <v>115</v>
      </c>
    </row>
    <row r="13">
      <c r="A13" s="10" t="n">
        <v>1242</v>
      </c>
      <c r="B13" s="11" t="n">
        <v>101</v>
      </c>
    </row>
    <row r="14">
      <c r="A14" s="12" t="n">
        <v>1264</v>
      </c>
      <c r="B14" s="4" t="n">
        <v>98</v>
      </c>
    </row>
    <row r="15">
      <c r="A15" s="10" t="n">
        <v>1214</v>
      </c>
      <c r="B15" s="11" t="n">
        <v>92</v>
      </c>
    </row>
    <row r="16">
      <c r="A16" s="12" t="n">
        <v>1228</v>
      </c>
      <c r="B16" s="4" t="n">
        <v>80</v>
      </c>
    </row>
    <row r="17">
      <c r="A17" s="10" t="n">
        <v>1254</v>
      </c>
      <c r="B17" s="11" t="n">
        <v>78</v>
      </c>
    </row>
  </sheetData>
  <mergeCells count="1">
    <mergeCell ref="A1:B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5" customWidth="1" min="4" max="4"/>
    <col width="10" customWidth="1" min="5" max="5"/>
    <col width="12" customWidth="1" min="6" max="6"/>
    <col width="10" customWidth="1" min="7" max="7"/>
  </cols>
  <sheetData>
    <row r="1" ht="26" customHeight="1">
      <c r="A1" s="7" t="inlineStr">
        <is>
          <t>Profit by Date and Model ($M)</t>
        </is>
      </c>
      <c r="B1" s="13" t="n"/>
      <c r="C1" s="13" t="n"/>
      <c r="D1" s="13" t="n"/>
      <c r="E1" s="13" t="n"/>
      <c r="F1" s="13" t="n"/>
      <c r="G1" s="8" t="n"/>
    </row>
    <row r="2" ht="22" customHeight="1">
      <c r="A2" s="9" t="inlineStr">
        <is>
          <t>Month</t>
        </is>
      </c>
      <c r="B2" s="9" t="inlineStr">
        <is>
          <t>Beaumont</t>
        </is>
      </c>
      <c r="C2" s="9" t="inlineStr">
        <is>
          <t>Hudson</t>
        </is>
      </c>
      <c r="D2" s="9" t="inlineStr">
        <is>
          <t>Mountaineer</t>
        </is>
      </c>
      <c r="E2" s="9" t="inlineStr">
        <is>
          <t>Salish</t>
        </is>
      </c>
      <c r="F2" s="9" t="inlineStr">
        <is>
          <t>Labrador</t>
        </is>
      </c>
      <c r="G2" s="9" t="inlineStr">
        <is>
          <t>Torino</t>
        </is>
      </c>
    </row>
    <row r="3">
      <c r="A3" s="10" t="inlineStr">
        <is>
          <t>Jan 2019</t>
        </is>
      </c>
      <c r="B3" s="14" t="n">
        <v>0.6</v>
      </c>
      <c r="C3" s="14" t="n">
        <v>0.9</v>
      </c>
      <c r="D3" s="14" t="n">
        <v>0.5</v>
      </c>
      <c r="E3" s="14" t="n">
        <v>0.8</v>
      </c>
      <c r="F3" s="14" t="n">
        <v>0.4</v>
      </c>
      <c r="G3" s="14" t="n">
        <v>0.7</v>
      </c>
    </row>
    <row r="4">
      <c r="A4" s="12" t="inlineStr">
        <is>
          <t>Feb 2019</t>
        </is>
      </c>
      <c r="B4" s="6" t="n">
        <v>0.65</v>
      </c>
      <c r="C4" s="6" t="n">
        <v>1.1</v>
      </c>
      <c r="D4" s="6" t="n">
        <v>0.55</v>
      </c>
      <c r="E4" s="6" t="n">
        <v>0.85</v>
      </c>
      <c r="F4" s="6" t="n">
        <v>0.45</v>
      </c>
      <c r="G4" s="6" t="n">
        <v>0.75</v>
      </c>
    </row>
    <row r="5">
      <c r="A5" s="10" t="inlineStr">
        <is>
          <t>Mar 2019</t>
        </is>
      </c>
      <c r="B5" s="14" t="n">
        <v>0.58</v>
      </c>
      <c r="C5" s="14" t="n">
        <v>0.95</v>
      </c>
      <c r="D5" s="14" t="n">
        <v>0.48</v>
      </c>
      <c r="E5" s="14" t="n">
        <v>0.78</v>
      </c>
      <c r="F5" s="14" t="n">
        <v>0.38</v>
      </c>
      <c r="G5" s="14" t="n">
        <v>0.68</v>
      </c>
    </row>
    <row r="6">
      <c r="A6" s="12" t="inlineStr">
        <is>
          <t>Apr 2019</t>
        </is>
      </c>
      <c r="B6" s="6" t="n">
        <v>0.72</v>
      </c>
      <c r="C6" s="6" t="n">
        <v>1.2</v>
      </c>
      <c r="D6" s="6" t="n">
        <v>0.6</v>
      </c>
      <c r="E6" s="6" t="n">
        <v>0.92</v>
      </c>
      <c r="F6" s="6" t="n">
        <v>0.5</v>
      </c>
      <c r="G6" s="6" t="n">
        <v>0.8</v>
      </c>
    </row>
    <row r="7">
      <c r="A7" s="10" t="inlineStr">
        <is>
          <t>May 2019</t>
        </is>
      </c>
      <c r="B7" s="14" t="n">
        <v>0.68</v>
      </c>
      <c r="C7" s="14" t="n">
        <v>1.15</v>
      </c>
      <c r="D7" s="14" t="n">
        <v>0.58</v>
      </c>
      <c r="E7" s="14" t="n">
        <v>0.88</v>
      </c>
      <c r="F7" s="14" t="n">
        <v>0.48</v>
      </c>
      <c r="G7" s="14" t="n">
        <v>0.78</v>
      </c>
    </row>
    <row r="8">
      <c r="A8" s="12" t="inlineStr">
        <is>
          <t>Jun 2019</t>
        </is>
      </c>
      <c r="B8" s="6" t="n">
        <v>0.75</v>
      </c>
      <c r="C8" s="6" t="n">
        <v>1.3</v>
      </c>
      <c r="D8" s="6" t="n">
        <v>0.62</v>
      </c>
      <c r="E8" s="6" t="n">
        <v>0.95</v>
      </c>
      <c r="F8" s="6" t="n">
        <v>0.52</v>
      </c>
      <c r="G8" s="6" t="n">
        <v>0.85</v>
      </c>
    </row>
    <row r="9">
      <c r="A9" s="10" t="inlineStr">
        <is>
          <t>Jul 2019</t>
        </is>
      </c>
      <c r="B9" s="14" t="n">
        <v>0.7</v>
      </c>
      <c r="C9" s="14" t="n">
        <v>1.18</v>
      </c>
      <c r="D9" s="14" t="n">
        <v>0.57</v>
      </c>
      <c r="E9" s="14" t="n">
        <v>0.87</v>
      </c>
      <c r="F9" s="14" t="n">
        <v>0.47</v>
      </c>
      <c r="G9" s="14" t="n">
        <v>0.77</v>
      </c>
    </row>
    <row r="10">
      <c r="A10" s="12" t="inlineStr">
        <is>
          <t>Aug 2019</t>
        </is>
      </c>
      <c r="B10" s="6" t="n">
        <v>0.64</v>
      </c>
      <c r="C10" s="6" t="n">
        <v>1.05</v>
      </c>
      <c r="D10" s="6" t="n">
        <v>0.52</v>
      </c>
      <c r="E10" s="6" t="n">
        <v>0.82</v>
      </c>
      <c r="F10" s="6" t="n">
        <v>0.43</v>
      </c>
      <c r="G10" s="6" t="n">
        <v>0.72</v>
      </c>
    </row>
    <row r="11">
      <c r="A11" s="10" t="inlineStr">
        <is>
          <t>Sep 2019</t>
        </is>
      </c>
      <c r="B11" s="14" t="n">
        <v>0.63</v>
      </c>
      <c r="C11" s="14" t="n">
        <v>0.98</v>
      </c>
      <c r="D11" s="14" t="n">
        <v>0.5</v>
      </c>
      <c r="E11" s="14" t="n">
        <v>0.79</v>
      </c>
      <c r="F11" s="14" t="n">
        <v>0.4</v>
      </c>
      <c r="G11" s="14" t="n">
        <v>0.7</v>
      </c>
    </row>
    <row r="12">
      <c r="A12" s="12" t="inlineStr">
        <is>
          <t>Oct 2019</t>
        </is>
      </c>
      <c r="B12" s="6" t="n">
        <v>0.71</v>
      </c>
      <c r="C12" s="6" t="n">
        <v>1.12</v>
      </c>
      <c r="D12" s="6" t="n">
        <v>0.58</v>
      </c>
      <c r="E12" s="6" t="n">
        <v>0.88</v>
      </c>
      <c r="F12" s="6" t="n">
        <v>0.48</v>
      </c>
      <c r="G12" s="6" t="n">
        <v>0.78</v>
      </c>
    </row>
    <row r="13">
      <c r="A13" s="10" t="inlineStr">
        <is>
          <t>Nov 2019</t>
        </is>
      </c>
      <c r="B13" s="14" t="n">
        <v>0.74</v>
      </c>
      <c r="C13" s="14" t="n">
        <v>1.22</v>
      </c>
      <c r="D13" s="14" t="n">
        <v>0.61</v>
      </c>
      <c r="E13" s="14" t="n">
        <v>0.93</v>
      </c>
      <c r="F13" s="14" t="n">
        <v>0.51</v>
      </c>
      <c r="G13" s="14" t="n">
        <v>0.82</v>
      </c>
    </row>
    <row r="14">
      <c r="A14" s="12" t="inlineStr">
        <is>
          <t>Dec 2019</t>
        </is>
      </c>
      <c r="B14" s="6" t="n">
        <v>0.78</v>
      </c>
      <c r="C14" s="6" t="n">
        <v>1.35</v>
      </c>
      <c r="D14" s="6" t="n">
        <v>0.65</v>
      </c>
      <c r="E14" s="6" t="n">
        <v>0.98</v>
      </c>
      <c r="F14" s="6" t="n">
        <v>0.55</v>
      </c>
      <c r="G14" s="6" t="n">
        <v>0.88</v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</cols>
  <sheetData>
    <row r="1" ht="26" customHeight="1">
      <c r="A1" s="7" t="inlineStr">
        <is>
          <t>Profit by Year and Dealer ID ($M)</t>
        </is>
      </c>
      <c r="B1" s="13" t="n"/>
      <c r="C1" s="13" t="n"/>
      <c r="D1" s="8" t="n"/>
    </row>
    <row r="2" ht="22" customHeight="1">
      <c r="A2" s="9" t="inlineStr">
        <is>
          <t>Dealer ID</t>
        </is>
      </c>
      <c r="B2" s="9" t="inlineStr">
        <is>
          <t>2018</t>
        </is>
      </c>
      <c r="C2" s="9" t="inlineStr">
        <is>
          <t>2019</t>
        </is>
      </c>
      <c r="D2" s="9" t="inlineStr">
        <is>
          <t>2020</t>
        </is>
      </c>
    </row>
    <row r="3">
      <c r="A3" s="10" t="n">
        <v>1214</v>
      </c>
      <c r="B3" s="14" t="n">
        <v>1.53</v>
      </c>
      <c r="C3" s="14" t="n">
        <v>1.71</v>
      </c>
      <c r="D3" s="14" t="n">
        <v>1.98</v>
      </c>
    </row>
    <row r="4">
      <c r="A4" s="12" t="n">
        <v>1216</v>
      </c>
      <c r="B4" s="6" t="n">
        <v>1.96</v>
      </c>
      <c r="C4" s="6" t="n">
        <v>2.19</v>
      </c>
      <c r="D4" s="6" t="n">
        <v>2.53</v>
      </c>
    </row>
    <row r="5">
      <c r="A5" s="10" t="n">
        <v>1220</v>
      </c>
      <c r="B5" s="14" t="n">
        <v>2.64</v>
      </c>
      <c r="C5" s="14" t="n">
        <v>2.95</v>
      </c>
      <c r="D5" s="14" t="n">
        <v>3.41</v>
      </c>
    </row>
    <row r="6">
      <c r="A6" s="12" t="n">
        <v>1226</v>
      </c>
      <c r="B6" s="6" t="n">
        <v>2.3</v>
      </c>
      <c r="C6" s="6" t="n">
        <v>2.57</v>
      </c>
      <c r="D6" s="6" t="n">
        <v>2.97</v>
      </c>
    </row>
    <row r="7">
      <c r="A7" s="10" t="n">
        <v>1228</v>
      </c>
      <c r="B7" s="14" t="n">
        <v>1.28</v>
      </c>
      <c r="C7" s="14" t="n">
        <v>1.43</v>
      </c>
      <c r="D7" s="14" t="n">
        <v>1.65</v>
      </c>
    </row>
    <row r="8">
      <c r="A8" s="12" t="n">
        <v>1234</v>
      </c>
      <c r="B8" s="6" t="n">
        <v>3.57</v>
      </c>
      <c r="C8" s="6" t="n">
        <v>3.99</v>
      </c>
      <c r="D8" s="6" t="n">
        <v>4.62</v>
      </c>
    </row>
    <row r="9">
      <c r="A9" s="10" t="n">
        <v>1240</v>
      </c>
      <c r="B9" s="14" t="n">
        <v>3.23</v>
      </c>
      <c r="C9" s="14" t="n">
        <v>3.61</v>
      </c>
      <c r="D9" s="14" t="n">
        <v>4.18</v>
      </c>
    </row>
    <row r="10">
      <c r="A10" s="12" t="n">
        <v>1242</v>
      </c>
      <c r="B10" s="6" t="n">
        <v>1.79</v>
      </c>
      <c r="C10" s="6" t="n">
        <v>2</v>
      </c>
      <c r="D10" s="6" t="n">
        <v>2.31</v>
      </c>
    </row>
    <row r="11">
      <c r="A11" s="10" t="n">
        <v>1246</v>
      </c>
      <c r="B11" s="14" t="n">
        <v>4.25</v>
      </c>
      <c r="C11" s="14" t="n">
        <v>4.75</v>
      </c>
      <c r="D11" s="14" t="n">
        <v>5.5</v>
      </c>
    </row>
    <row r="12">
      <c r="A12" s="12" t="n">
        <v>1248</v>
      </c>
      <c r="B12" s="6" t="n">
        <v>2.89</v>
      </c>
      <c r="C12" s="6" t="n">
        <v>3.23</v>
      </c>
      <c r="D12" s="6" t="n">
        <v>3.74</v>
      </c>
    </row>
    <row r="13">
      <c r="A13" s="10" t="n">
        <v>1252</v>
      </c>
      <c r="B13" s="14" t="n">
        <v>2.47</v>
      </c>
      <c r="C13" s="14" t="n">
        <v>2.76</v>
      </c>
      <c r="D13" s="14" t="n">
        <v>3.19</v>
      </c>
    </row>
    <row r="14">
      <c r="A14" s="12" t="n">
        <v>1254</v>
      </c>
      <c r="B14" s="6" t="n">
        <v>1.36</v>
      </c>
      <c r="C14" s="6" t="n">
        <v>1.52</v>
      </c>
      <c r="D14" s="6" t="n">
        <v>1.76</v>
      </c>
    </row>
    <row r="15">
      <c r="A15" s="10" t="n">
        <v>1260</v>
      </c>
      <c r="B15" s="14" t="n">
        <v>3.83</v>
      </c>
      <c r="C15" s="14" t="n">
        <v>4.28</v>
      </c>
      <c r="D15" s="14" t="n">
        <v>4.95</v>
      </c>
    </row>
    <row r="16">
      <c r="A16" s="12" t="n">
        <v>1262</v>
      </c>
      <c r="B16" s="6" t="n">
        <v>2.72</v>
      </c>
      <c r="C16" s="6" t="n">
        <v>3.04</v>
      </c>
      <c r="D16" s="6" t="n">
        <v>3.52</v>
      </c>
    </row>
    <row r="17">
      <c r="A17" s="10" t="n">
        <v>1264</v>
      </c>
      <c r="B17" s="14" t="n">
        <v>1.7</v>
      </c>
      <c r="C17" s="14" t="n">
        <v>1.9</v>
      </c>
      <c r="D17" s="14" t="n">
        <v>2.2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22" customWidth="1" min="2" max="2"/>
  </cols>
  <sheetData>
    <row r="1" ht="26" customHeight="1">
      <c r="A1" s="7" t="inlineStr">
        <is>
          <t>Profit of Hudson Models by Dealer ID ($M)</t>
        </is>
      </c>
      <c r="B1" s="8" t="n"/>
    </row>
    <row r="2" ht="22" customHeight="1">
      <c r="A2" s="9" t="inlineStr">
        <is>
          <t>Dealer ID</t>
        </is>
      </c>
      <c r="B2" s="9" t="inlineStr">
        <is>
          <t>Hudson Profit ($M)</t>
        </is>
      </c>
    </row>
    <row r="3">
      <c r="A3" s="10" t="n">
        <v>1214</v>
      </c>
      <c r="B3" s="14" t="n">
        <v>0.52</v>
      </c>
    </row>
    <row r="4">
      <c r="A4" s="12" t="n">
        <v>1216</v>
      </c>
      <c r="B4" s="6" t="n">
        <v>0.68</v>
      </c>
    </row>
    <row r="5">
      <c r="A5" s="10" t="n">
        <v>1220</v>
      </c>
      <c r="B5" s="14" t="n">
        <v>0.95</v>
      </c>
    </row>
    <row r="6">
      <c r="A6" s="12" t="n">
        <v>1226</v>
      </c>
      <c r="B6" s="6" t="n">
        <v>0.8100000000000001</v>
      </c>
    </row>
    <row r="7">
      <c r="A7" s="10" t="n">
        <v>1228</v>
      </c>
      <c r="B7" s="14" t="n">
        <v>0.44</v>
      </c>
    </row>
    <row r="8">
      <c r="A8" s="12" t="n">
        <v>1234</v>
      </c>
      <c r="B8" s="6" t="n">
        <v>1.32</v>
      </c>
    </row>
    <row r="9">
      <c r="A9" s="10" t="n">
        <v>1240</v>
      </c>
      <c r="B9" s="14" t="n">
        <v>1.18</v>
      </c>
    </row>
    <row r="10">
      <c r="A10" s="12" t="n">
        <v>1242</v>
      </c>
      <c r="B10" s="6" t="n">
        <v>0.6</v>
      </c>
    </row>
    <row r="11">
      <c r="A11" s="10" t="n">
        <v>1246</v>
      </c>
      <c r="B11" s="14" t="n">
        <v>1.55</v>
      </c>
    </row>
    <row r="12">
      <c r="A12" s="12" t="n">
        <v>1248</v>
      </c>
      <c r="B12" s="6" t="n">
        <v>1.02</v>
      </c>
    </row>
    <row r="13">
      <c r="A13" s="10" t="n">
        <v>1252</v>
      </c>
      <c r="B13" s="14" t="n">
        <v>0.87</v>
      </c>
    </row>
    <row r="14">
      <c r="A14" s="12" t="n">
        <v>1254</v>
      </c>
      <c r="B14" s="6" t="n">
        <v>0.41</v>
      </c>
    </row>
    <row r="15">
      <c r="A15" s="10" t="n">
        <v>1260</v>
      </c>
      <c r="B15" s="14" t="n">
        <v>1.4</v>
      </c>
    </row>
    <row r="16">
      <c r="A16" s="12" t="n">
        <v>1262</v>
      </c>
      <c r="B16" s="6" t="n">
        <v>1.08</v>
      </c>
    </row>
    <row r="17">
      <c r="A17" s="10" t="n">
        <v>1264</v>
      </c>
      <c r="B17" s="14" t="n">
        <v>0.63</v>
      </c>
    </row>
  </sheetData>
  <mergeCells count="1">
    <mergeCell ref="A1:B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2026-03-09T21:28:48Z</dcterms:created>
  <dcterms:modified xmlns:dcterms="http://purl.org/dc/terms/" xmlns:xsi="http://www.w3.org/2001/XMLSchema-instance" xsi:type="dcterms:W3CDTF">2026-03-09T21:29:00Z</dcterms:modified>
</cp:coreProperties>
</file>